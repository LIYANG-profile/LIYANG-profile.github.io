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原始数据" sheetId="2" state="visible" r:id="rId2"/>
    <sheet xmlns:r="http://schemas.openxmlformats.org/officeDocument/2006/relationships" name="02_指标计算" sheetId="3" state="visible" r:id="rId3"/>
    <sheet xmlns:r="http://schemas.openxmlformats.org/officeDocument/2006/relationships" name="03_题材对照" sheetId="4" state="visible" r:id="rId4"/>
    <sheet xmlns:r="http://schemas.openxmlformats.org/officeDocument/2006/relationships" name="04_漏斗复盘" sheetId="5" state="visible" r:id="rId5"/>
    <sheet xmlns:r="http://schemas.openxmlformats.org/officeDocument/2006/relationships" name="05_周报看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color rgb="00000000"/>
    </font>
    <font>
      <name val="Arial"/>
      <b val="1"/>
      <color rgb="00111111"/>
    </font>
    <font>
      <name val="Arial"/>
      <color rgb="000000FF"/>
    </font>
    <font>
      <name val="Arial"/>
      <b val="1"/>
      <sz val="12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F3F0EA"/>
      </patternFill>
    </fill>
    <fill>
      <patternFill patternType="solid">
        <fgColor rgb="00FFFF00"/>
      </patternFill>
    </fill>
    <fill>
      <patternFill patternType="solid">
        <fgColor rgb="00F8E6E2"/>
      </patternFill>
    </fill>
  </fills>
  <borders count="2">
    <border>
      <left/>
      <right/>
      <top/>
      <bottom/>
      <diagonal/>
    </border>
    <border>
      <left style="thin">
        <color rgb="00D9D6CF"/>
      </left>
      <right style="thin">
        <color rgb="00D9D6CF"/>
      </right>
      <top style="thin">
        <color rgb="00D9D6CF"/>
      </top>
      <bottom style="thin">
        <color rgb="00D9D6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0" fillId="4" borderId="0" pivotButton="0" quotePrefix="0" xfId="0"/>
    <xf numFmtId="164" fontId="5" fillId="0" borderId="1" pivotButton="0" quotePrefix="0" xfId="0"/>
    <xf numFmtId="0" fontId="2" fillId="0" borderId="1" pivotButton="0" quotePrefix="0" xfId="0"/>
    <xf numFmtId="1" fontId="3" fillId="4" borderId="0" pivotButton="0" quotePrefix="0" xfId="0"/>
    <xf numFmtId="164" fontId="3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Interaction Mix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'05_周报看板'!B10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'05_周报看板'!$A$11:$A$16</f>
            </numRef>
          </cat>
          <val>
            <numRef>
              <f>'05_周报看板'!$B$11:$B$16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56" customWidth="1" min="2" max="2"/>
  </cols>
  <sheetData>
    <row r="1">
      <c r="A1" s="1" t="inlineStr">
        <is>
          <t>B站账号运营追踪表（作品集展示）</t>
        </is>
      </c>
    </row>
    <row r="3">
      <c r="A3" s="2" t="inlineStr">
        <is>
          <t>账号</t>
        </is>
      </c>
      <c r="B3" s="3" t="inlineStr">
        <is>
          <t>不是电影乐队</t>
        </is>
      </c>
    </row>
    <row r="4">
      <c r="A4" s="2" t="inlineStr">
        <is>
          <t>主页</t>
        </is>
      </c>
      <c r="B4" s="3" t="inlineStr">
        <is>
          <t>https://space.bilibili.com/505201963</t>
        </is>
      </c>
    </row>
    <row r="5">
      <c r="A5" s="2" t="inlineStr">
        <is>
          <t>样本稿件</t>
        </is>
      </c>
      <c r="B5" s="3" t="inlineStr">
        <is>
          <t>BV1sVAKzUEy9</t>
        </is>
      </c>
    </row>
    <row r="6">
      <c r="A6" s="2" t="inlineStr">
        <is>
          <t>快照日期</t>
        </is>
      </c>
      <c r="B6" s="3" t="inlineStr">
        <is>
          <t>2026-07-22</t>
        </is>
      </c>
    </row>
    <row r="8">
      <c r="A8" t="inlineStr">
        <is>
          <t>字段颜色</t>
        </is>
      </c>
    </row>
    <row r="9">
      <c r="A9" t="inlineStr">
        <is>
          <t>蓝色数字 = 手工/接口输入（可改）</t>
        </is>
      </c>
    </row>
    <row r="10">
      <c r="A10" t="inlineStr">
        <is>
          <t>黑色数字 = 公式计算结果（勿直接改）</t>
        </is>
      </c>
    </row>
    <row r="11">
      <c r="A11" t="inlineStr">
        <is>
          <t>绿色文字 = 引用其他工作表</t>
        </is>
      </c>
    </row>
    <row r="12">
      <c r="A12" t="inlineStr">
        <is>
          <t>黄色底 = 待创作中心导出后补齐的私域指标</t>
        </is>
      </c>
    </row>
    <row r="14">
      <c r="A14" t="inlineStr">
        <is>
          <t>工具链</t>
        </is>
      </c>
    </row>
    <row r="15">
      <c r="A15" t="inlineStr">
        <is>
          <t>Python 拉取公开指标 → 本表公式复盘 → SQL 题材汇总 → Power BI 看板</t>
        </is>
      </c>
    </row>
    <row r="17">
      <c r="A17" t="inlineStr">
        <is>
          <t>更新方式</t>
        </is>
      </c>
    </row>
    <row r="18">
      <c r="A18" t="inlineStr">
        <is>
          <t>运行 etl_public_stats.py 刷新公开指标；完播/来源请粘贴创作中心导出到黄底列。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2" customWidth="1" min="15" max="15"/>
    <col width="16" customWidth="1" min="16" max="16"/>
    <col width="36" customWidth="1" min="17" max="17"/>
  </cols>
  <sheetData>
    <row r="1">
      <c r="A1" s="4" t="inlineStr">
        <is>
          <t>bvid</t>
        </is>
      </c>
      <c r="B1" s="4" t="inlineStr">
        <is>
          <t>title</t>
        </is>
      </c>
      <c r="C1" s="4" t="inlineStr">
        <is>
          <t>category</t>
        </is>
      </c>
      <c r="D1" s="4" t="inlineStr">
        <is>
          <t>pubdate</t>
        </is>
      </c>
      <c r="E1" s="4" t="inlineStr">
        <is>
          <t>duration_sec</t>
        </is>
      </c>
      <c r="F1" s="4" t="inlineStr">
        <is>
          <t>views</t>
        </is>
      </c>
      <c r="G1" s="4" t="inlineStr">
        <is>
          <t>likes</t>
        </is>
      </c>
      <c r="H1" s="4" t="inlineStr">
        <is>
          <t>favorites</t>
        </is>
      </c>
      <c r="I1" s="4" t="inlineStr">
        <is>
          <t>coins</t>
        </is>
      </c>
      <c r="J1" s="4" t="inlineStr">
        <is>
          <t>shares</t>
        </is>
      </c>
      <c r="K1" s="4" t="inlineStr">
        <is>
          <t>replies</t>
        </is>
      </c>
      <c r="L1" s="4" t="inlineStr">
        <is>
          <t>danmaku</t>
        </is>
      </c>
      <c r="M1" s="4" t="inlineStr">
        <is>
          <t>avg_watch_sec</t>
        </is>
      </c>
      <c r="N1" s="4" t="inlineStr">
        <is>
          <t>completion_rate</t>
        </is>
      </c>
      <c r="O1" s="4" t="inlineStr">
        <is>
          <t>fan_delta</t>
        </is>
      </c>
      <c r="P1" s="4" t="inlineStr">
        <is>
          <t>source_top</t>
        </is>
      </c>
      <c r="Q1" s="4" t="inlineStr">
        <is>
          <t>note</t>
        </is>
      </c>
    </row>
    <row r="2">
      <c r="A2" s="5" t="inlineStr">
        <is>
          <t>BV1sVAKzUEy9</t>
        </is>
      </c>
      <c r="B2" s="5" t="inlineStr">
        <is>
          <t>【挽救计划】披着太空冒险外皮的童话故事，无剧透简评高司令新片</t>
        </is>
      </c>
      <c r="C2" s="5" t="inlineStr">
        <is>
          <t>电影前瞻</t>
        </is>
      </c>
      <c r="D2" s="5" t="inlineStr">
        <is>
          <t>2026-03-22</t>
        </is>
      </c>
      <c r="E2" s="5" t="n">
        <v>322</v>
      </c>
      <c r="F2" s="6" t="n">
        <v>3375</v>
      </c>
      <c r="G2" s="6" t="n">
        <v>1358</v>
      </c>
      <c r="H2" s="6" t="n">
        <v>182</v>
      </c>
      <c r="I2" s="6" t="n">
        <v>22</v>
      </c>
      <c r="J2" s="6" t="n">
        <v>15</v>
      </c>
      <c r="K2" s="6" t="n">
        <v>26</v>
      </c>
      <c r="L2" s="6" t="n">
        <v>18</v>
      </c>
      <c r="M2" s="7" t="n"/>
      <c r="N2" s="7" t="n"/>
      <c r="O2" s="7" t="n"/>
      <c r="P2" s="7" t="n"/>
      <c r="Q2" s="5" t="inlineStr">
        <is>
          <t>公开接口快照；黄底列待创作中心补齐</t>
        </is>
      </c>
    </row>
    <row r="3">
      <c r="A3" s="8" t="n"/>
      <c r="B3" s="8" t="n"/>
      <c r="C3" s="8" t="n"/>
      <c r="D3" s="8" t="n"/>
      <c r="E3" s="8" t="n"/>
      <c r="F3" s="6" t="n"/>
      <c r="G3" s="6" t="n"/>
      <c r="H3" s="6" t="n"/>
      <c r="I3" s="6" t="n"/>
      <c r="J3" s="6" t="n"/>
      <c r="K3" s="6" t="n"/>
      <c r="L3" s="6" t="n"/>
      <c r="M3" s="7" t="n"/>
      <c r="N3" s="7" t="n"/>
      <c r="O3" s="7" t="n"/>
      <c r="P3" s="7" t="n"/>
      <c r="Q3" s="8" t="n"/>
    </row>
    <row r="4">
      <c r="A4" s="8" t="n"/>
      <c r="B4" s="8" t="n"/>
      <c r="C4" s="8" t="n"/>
      <c r="D4" s="8" t="n"/>
      <c r="E4" s="8" t="n"/>
      <c r="F4" s="6" t="n"/>
      <c r="G4" s="6" t="n"/>
      <c r="H4" s="6" t="n"/>
      <c r="I4" s="6" t="n"/>
      <c r="J4" s="6" t="n"/>
      <c r="K4" s="6" t="n"/>
      <c r="L4" s="6" t="n"/>
      <c r="M4" s="7" t="n"/>
      <c r="N4" s="7" t="n"/>
      <c r="O4" s="7" t="n"/>
      <c r="P4" s="7" t="n"/>
      <c r="Q4" s="8" t="n"/>
    </row>
    <row r="5">
      <c r="A5" s="8" t="n"/>
      <c r="B5" s="8" t="n"/>
      <c r="C5" s="8" t="n"/>
      <c r="D5" s="8" t="n"/>
      <c r="E5" s="8" t="n"/>
      <c r="F5" s="6" t="n"/>
      <c r="G5" s="6" t="n"/>
      <c r="H5" s="6" t="n"/>
      <c r="I5" s="6" t="n"/>
      <c r="J5" s="6" t="n"/>
      <c r="K5" s="6" t="n"/>
      <c r="L5" s="6" t="n"/>
      <c r="M5" s="7" t="n"/>
      <c r="N5" s="7" t="n"/>
      <c r="O5" s="7" t="n"/>
      <c r="P5" s="7" t="n"/>
      <c r="Q5" s="8" t="n"/>
    </row>
    <row r="6">
      <c r="A6" s="8" t="n"/>
      <c r="B6" s="8" t="n"/>
      <c r="C6" s="8" t="n"/>
      <c r="D6" s="8" t="n"/>
      <c r="E6" s="8" t="n"/>
      <c r="F6" s="6" t="n"/>
      <c r="G6" s="6" t="n"/>
      <c r="H6" s="6" t="n"/>
      <c r="I6" s="6" t="n"/>
      <c r="J6" s="6" t="n"/>
      <c r="K6" s="6" t="n"/>
      <c r="L6" s="6" t="n"/>
      <c r="M6" s="7" t="n"/>
      <c r="N6" s="7" t="n"/>
      <c r="O6" s="7" t="n"/>
      <c r="P6" s="7" t="n"/>
      <c r="Q6" s="8" t="n"/>
    </row>
    <row r="7">
      <c r="A7" s="8" t="n"/>
      <c r="B7" s="8" t="n"/>
      <c r="C7" s="8" t="n"/>
      <c r="D7" s="8" t="n"/>
      <c r="E7" s="8" t="n"/>
      <c r="F7" s="6" t="n"/>
      <c r="G7" s="6" t="n"/>
      <c r="H7" s="6" t="n"/>
      <c r="I7" s="6" t="n"/>
      <c r="J7" s="6" t="n"/>
      <c r="K7" s="6" t="n"/>
      <c r="L7" s="6" t="n"/>
      <c r="M7" s="7" t="n"/>
      <c r="N7" s="7" t="n"/>
      <c r="O7" s="7" t="n"/>
      <c r="P7" s="7" t="n"/>
      <c r="Q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4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40" customWidth="1" min="14" max="14"/>
  </cols>
  <sheetData>
    <row r="1">
      <c r="A1" s="9" t="inlineStr">
        <is>
          <t>稿件指标计算（引用 01_原始数据）</t>
        </is>
      </c>
    </row>
    <row r="3">
      <c r="A3" s="4" t="inlineStr">
        <is>
          <t>bvid</t>
        </is>
      </c>
      <c r="B3" s="4" t="inlineStr">
        <is>
          <t>title</t>
        </is>
      </c>
      <c r="C3" s="4" t="inlineStr">
        <is>
          <t>category</t>
        </is>
      </c>
      <c r="D3" s="4" t="inlineStr">
        <is>
          <t>views</t>
        </is>
      </c>
      <c r="E3" s="4" t="inlineStr">
        <is>
          <t>likes</t>
        </is>
      </c>
      <c r="F3" s="4" t="inlineStr">
        <is>
          <t>favorites</t>
        </is>
      </c>
      <c r="G3" s="4" t="inlineStr">
        <is>
          <t>coins</t>
        </is>
      </c>
      <c r="H3" s="4" t="inlineStr">
        <is>
          <t>shares</t>
        </is>
      </c>
      <c r="I3" s="4" t="inlineStr">
        <is>
          <t>like_rate</t>
        </is>
      </c>
      <c r="J3" s="4" t="inlineStr">
        <is>
          <t>favorite_rate</t>
        </is>
      </c>
      <c r="K3" s="4" t="inlineStr">
        <is>
          <t>coin_rate</t>
        </is>
      </c>
      <c r="L3" s="4" t="inlineStr">
        <is>
          <t>share_rate</t>
        </is>
      </c>
      <c r="M3" s="4" t="inlineStr">
        <is>
          <t>interaction_rate</t>
        </is>
      </c>
      <c r="N3" s="4" t="inlineStr">
        <is>
          <t>insight</t>
        </is>
      </c>
    </row>
    <row r="4">
      <c r="A4" s="10">
        <f>'01_原始数据'!A2</f>
        <v/>
      </c>
      <c r="B4" s="10">
        <f>'01_原始数据'!B2</f>
        <v/>
      </c>
      <c r="C4" s="10">
        <f>'01_原始数据'!C2</f>
        <v/>
      </c>
      <c r="D4" s="10">
        <f>'01_原始数据'!F2</f>
        <v/>
      </c>
      <c r="E4" s="10">
        <f>'01_原始数据'!G2</f>
        <v/>
      </c>
      <c r="F4" s="10">
        <f>'01_原始数据'!H2</f>
        <v/>
      </c>
      <c r="G4" s="10">
        <f>'01_原始数据'!I2</f>
        <v/>
      </c>
      <c r="H4" s="10">
        <f>'01_原始数据'!J2</f>
        <v/>
      </c>
      <c r="I4" s="11">
        <f>IF(OR(D4="",D4=0),"",E4/D4)</f>
        <v/>
      </c>
      <c r="J4" s="11">
        <f>IF(OR(D4="",D4=0),"",F4/D4)</f>
        <v/>
      </c>
      <c r="K4" s="11">
        <f>IF(OR(D4="",D4=0),"",G4/D4)</f>
        <v/>
      </c>
      <c r="L4" s="11">
        <f>IF(OR(D4="",D4=0),"",H4/D4)</f>
        <v/>
      </c>
      <c r="M4" s="11">
        <f>IF(OR(D4="",D4=0),"",SUM('01_原始数据'!G2:L2)/D4)</f>
        <v/>
      </c>
      <c r="N4" s="5">
        <f>IF(D4="","",IF(I4&gt;=0.2,"高共鸣，检查投币/分享转化","观察播放与封面点击"))</f>
        <v/>
      </c>
    </row>
    <row r="5">
      <c r="A5" s="10">
        <f>'01_原始数据'!A3</f>
        <v/>
      </c>
      <c r="B5" s="10">
        <f>'01_原始数据'!B3</f>
        <v/>
      </c>
      <c r="C5" s="10">
        <f>'01_原始数据'!C3</f>
        <v/>
      </c>
      <c r="D5" s="10">
        <f>'01_原始数据'!F3</f>
        <v/>
      </c>
      <c r="E5" s="10">
        <f>'01_原始数据'!G3</f>
        <v/>
      </c>
      <c r="F5" s="10">
        <f>'01_原始数据'!H3</f>
        <v/>
      </c>
      <c r="G5" s="10">
        <f>'01_原始数据'!I3</f>
        <v/>
      </c>
      <c r="H5" s="10">
        <f>'01_原始数据'!J3</f>
        <v/>
      </c>
      <c r="I5" s="11">
        <f>IF(OR(D5="",D5=0),"",E5/D5)</f>
        <v/>
      </c>
      <c r="J5" s="11">
        <f>IF(OR(D5="",D5=0),"",F5/D5)</f>
        <v/>
      </c>
      <c r="K5" s="11">
        <f>IF(OR(D5="",D5=0),"",G5/D5)</f>
        <v/>
      </c>
      <c r="L5" s="11">
        <f>IF(OR(D5="",D5=0),"",H5/D5)</f>
        <v/>
      </c>
      <c r="M5" s="11">
        <f>IF(OR(D5="",D5=0),"",SUM('01_原始数据'!G3:L3)/D5)</f>
        <v/>
      </c>
      <c r="N5" s="5">
        <f>IF(D5="","",IF(I5&gt;=0.2,"高共鸣，检查投币/分享转化","观察播放与封面点击"))</f>
        <v/>
      </c>
    </row>
    <row r="6">
      <c r="A6" s="10">
        <f>'01_原始数据'!A4</f>
        <v/>
      </c>
      <c r="B6" s="10">
        <f>'01_原始数据'!B4</f>
        <v/>
      </c>
      <c r="C6" s="10">
        <f>'01_原始数据'!C4</f>
        <v/>
      </c>
      <c r="D6" s="10">
        <f>'01_原始数据'!F4</f>
        <v/>
      </c>
      <c r="E6" s="10">
        <f>'01_原始数据'!G4</f>
        <v/>
      </c>
      <c r="F6" s="10">
        <f>'01_原始数据'!H4</f>
        <v/>
      </c>
      <c r="G6" s="10">
        <f>'01_原始数据'!I4</f>
        <v/>
      </c>
      <c r="H6" s="10">
        <f>'01_原始数据'!J4</f>
        <v/>
      </c>
      <c r="I6" s="11">
        <f>IF(OR(D6="",D6=0),"",E6/D6)</f>
        <v/>
      </c>
      <c r="J6" s="11">
        <f>IF(OR(D6="",D6=0),"",F6/D6)</f>
        <v/>
      </c>
      <c r="K6" s="11">
        <f>IF(OR(D6="",D6=0),"",G6/D6)</f>
        <v/>
      </c>
      <c r="L6" s="11">
        <f>IF(OR(D6="",D6=0),"",H6/D6)</f>
        <v/>
      </c>
      <c r="M6" s="11">
        <f>IF(OR(D6="",D6=0),"",SUM('01_原始数据'!G4:L4)/D6)</f>
        <v/>
      </c>
      <c r="N6" s="5">
        <f>IF(D6="","",IF(I6&gt;=0.2,"高共鸣，检查投币/分享转化","观察播放与封面点击"))</f>
        <v/>
      </c>
    </row>
    <row r="7">
      <c r="A7" s="10">
        <f>'01_原始数据'!A5</f>
        <v/>
      </c>
      <c r="B7" s="10">
        <f>'01_原始数据'!B5</f>
        <v/>
      </c>
      <c r="C7" s="10">
        <f>'01_原始数据'!C5</f>
        <v/>
      </c>
      <c r="D7" s="10">
        <f>'01_原始数据'!F5</f>
        <v/>
      </c>
      <c r="E7" s="10">
        <f>'01_原始数据'!G5</f>
        <v/>
      </c>
      <c r="F7" s="10">
        <f>'01_原始数据'!H5</f>
        <v/>
      </c>
      <c r="G7" s="10">
        <f>'01_原始数据'!I5</f>
        <v/>
      </c>
      <c r="H7" s="10">
        <f>'01_原始数据'!J5</f>
        <v/>
      </c>
      <c r="I7" s="11">
        <f>IF(OR(D7="",D7=0),"",E7/D7)</f>
        <v/>
      </c>
      <c r="J7" s="11">
        <f>IF(OR(D7="",D7=0),"",F7/D7)</f>
        <v/>
      </c>
      <c r="K7" s="11">
        <f>IF(OR(D7="",D7=0),"",G7/D7)</f>
        <v/>
      </c>
      <c r="L7" s="11">
        <f>IF(OR(D7="",D7=0),"",H7/D7)</f>
        <v/>
      </c>
      <c r="M7" s="11">
        <f>IF(OR(D7="",D7=0),"",SUM('01_原始数据'!G5:L5)/D7)</f>
        <v/>
      </c>
      <c r="N7" s="5">
        <f>IF(D7="","",IF(I7&gt;=0.2,"高共鸣，检查投币/分享转化","观察播放与封面点击"))</f>
        <v/>
      </c>
    </row>
    <row r="8">
      <c r="A8" s="10">
        <f>'01_原始数据'!A6</f>
        <v/>
      </c>
      <c r="B8" s="10">
        <f>'01_原始数据'!B6</f>
        <v/>
      </c>
      <c r="C8" s="10">
        <f>'01_原始数据'!C6</f>
        <v/>
      </c>
      <c r="D8" s="10">
        <f>'01_原始数据'!F6</f>
        <v/>
      </c>
      <c r="E8" s="10">
        <f>'01_原始数据'!G6</f>
        <v/>
      </c>
      <c r="F8" s="10">
        <f>'01_原始数据'!H6</f>
        <v/>
      </c>
      <c r="G8" s="10">
        <f>'01_原始数据'!I6</f>
        <v/>
      </c>
      <c r="H8" s="10">
        <f>'01_原始数据'!J6</f>
        <v/>
      </c>
      <c r="I8" s="11">
        <f>IF(OR(D8="",D8=0),"",E8/D8)</f>
        <v/>
      </c>
      <c r="J8" s="11">
        <f>IF(OR(D8="",D8=0),"",F8/D8)</f>
        <v/>
      </c>
      <c r="K8" s="11">
        <f>IF(OR(D8="",D8=0),"",G8/D8)</f>
        <v/>
      </c>
      <c r="L8" s="11">
        <f>IF(OR(D8="",D8=0),"",H8/D8)</f>
        <v/>
      </c>
      <c r="M8" s="11">
        <f>IF(OR(D8="",D8=0),"",SUM('01_原始数据'!G6:L6)/D8)</f>
        <v/>
      </c>
      <c r="N8" s="5">
        <f>IF(D8="","",IF(I8&gt;=0.2,"高共鸣，检查投币/分享转化","观察播放与封面点击"))</f>
        <v/>
      </c>
    </row>
    <row r="10">
      <c r="A10" s="12" t="inlineStr">
        <is>
          <t>结论（样本稿）</t>
        </is>
      </c>
    </row>
    <row r="11">
      <c r="A11" s="13" t="inlineStr">
        <is>
          <t>点赞率约 40%：内容共鸣强；投币/分享偏低：片尾 CTA 与话题锚点可加强。</t>
        </is>
      </c>
    </row>
  </sheetData>
  <mergeCells count="1">
    <mergeCell ref="A11:N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36" customWidth="1" min="6" max="6"/>
  </cols>
  <sheetData>
    <row r="1">
      <c r="A1" s="4" t="inlineStr">
        <is>
          <t>题材</t>
        </is>
      </c>
      <c r="B1" s="4" t="inlineStr">
        <is>
          <t>样本</t>
        </is>
      </c>
      <c r="C1" s="4" t="inlineStr">
        <is>
          <t>状态</t>
        </is>
      </c>
      <c r="D1" s="4" t="inlineStr">
        <is>
          <t>播放</t>
        </is>
      </c>
      <c r="E1" s="4" t="inlineStr">
        <is>
          <t>点赞率</t>
        </is>
      </c>
      <c r="F1" s="4" t="inlineStr">
        <is>
          <t>运营结论</t>
        </is>
      </c>
    </row>
    <row r="2">
      <c r="A2" s="5" t="inlineStr">
        <is>
          <t>电影前瞻</t>
        </is>
      </c>
      <c r="B2" s="5" t="inlineStr">
        <is>
          <t>挽救计划</t>
        </is>
      </c>
      <c r="C2" s="5" t="inlineStr">
        <is>
          <t>已接入</t>
        </is>
      </c>
      <c r="D2" s="6" t="n">
        <v>3375</v>
      </c>
      <c r="E2" s="14" t="n">
        <v>0.4023703703703704</v>
      </c>
      <c r="F2" s="5" t="inlineStr">
        <is>
          <t>高点赞、可沉淀影评模板</t>
        </is>
      </c>
    </row>
    <row r="3">
      <c r="A3" s="5" t="inlineStr">
        <is>
          <t>财经口播</t>
        </is>
      </c>
      <c r="B3" s="5" t="inlineStr">
        <is>
          <t>港深通勤等</t>
        </is>
      </c>
      <c r="C3" s="5" t="inlineStr">
        <is>
          <t>待接入</t>
        </is>
      </c>
      <c r="D3" s="5" t="n"/>
      <c r="E3" s="5" t="n"/>
      <c r="F3" s="5" t="inlineStr">
        <is>
          <t>小红书侧作品，待统一口径</t>
        </is>
      </c>
    </row>
    <row r="4">
      <c r="A4" s="5" t="inlineStr">
        <is>
          <t>微电影 / AI</t>
        </is>
      </c>
      <c r="B4" s="5" t="inlineStr">
        <is>
          <t>现金之城等</t>
        </is>
      </c>
      <c r="C4" s="5" t="inlineStr">
        <is>
          <t>待接入</t>
        </is>
      </c>
      <c r="D4" s="5" t="n"/>
      <c r="E4" s="5" t="n"/>
      <c r="F4" s="5" t="inlineStr">
        <is>
          <t>非本账号公开稿，作对照空位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14" customWidth="1" min="3" max="3"/>
    <col width="12" customWidth="1" min="4" max="4"/>
    <col width="28" customWidth="1" min="5" max="5"/>
  </cols>
  <sheetData>
    <row r="1">
      <c r="A1" s="9" t="inlineStr">
        <is>
          <t>创作中心漏斗（待私域数据）</t>
        </is>
      </c>
    </row>
    <row r="3">
      <c r="A3" s="4" t="inlineStr">
        <is>
          <t>阶段</t>
        </is>
      </c>
      <c r="B3" s="4" t="inlineStr">
        <is>
          <t>指标</t>
        </is>
      </c>
      <c r="C3" s="4" t="inlineStr">
        <is>
          <t>数值</t>
        </is>
      </c>
      <c r="D3" s="4" t="inlineStr">
        <is>
          <t>转化率</t>
        </is>
      </c>
      <c r="E3" s="4" t="inlineStr">
        <is>
          <t>备注</t>
        </is>
      </c>
    </row>
    <row r="4">
      <c r="A4" s="5" t="inlineStr">
        <is>
          <t>曝光</t>
        </is>
      </c>
      <c r="B4" s="5" t="inlineStr">
        <is>
          <t>覆盖人数</t>
        </is>
      </c>
      <c r="C4" s="7" t="n"/>
      <c r="D4" s="8" t="n"/>
      <c r="E4" s="15" t="inlineStr">
        <is>
          <t>创作中心-流量来源</t>
        </is>
      </c>
    </row>
    <row r="5">
      <c r="A5" s="5" t="inlineStr">
        <is>
          <t>点击</t>
        </is>
      </c>
      <c r="B5" s="5" t="inlineStr">
        <is>
          <t>播放</t>
        </is>
      </c>
      <c r="C5" s="6" t="n">
        <v>3375</v>
      </c>
      <c r="D5" s="11">
        <f>IF(OR(C4="",C4=0),"",C5/C4)</f>
        <v/>
      </c>
      <c r="E5" s="15" t="inlineStr">
        <is>
          <t>公开接口已填播放</t>
        </is>
      </c>
    </row>
    <row r="6">
      <c r="A6" s="5" t="inlineStr">
        <is>
          <t>完播</t>
        </is>
      </c>
      <c r="B6" s="5" t="inlineStr">
        <is>
          <t>完播率/均播时长</t>
        </is>
      </c>
      <c r="C6" s="7" t="n"/>
      <c r="D6" s="8" t="inlineStr">
        <is>
          <t>待补完播</t>
        </is>
      </c>
      <c r="E6" s="15" t="inlineStr">
        <is>
          <t>黄底待导出</t>
        </is>
      </c>
    </row>
    <row r="7">
      <c r="A7" s="5" t="inlineStr">
        <is>
          <t>互动</t>
        </is>
      </c>
      <c r="B7" s="5" t="inlineStr">
        <is>
          <t>点赞+收藏+投币+分享+评+弹</t>
        </is>
      </c>
      <c r="C7" s="6" t="n">
        <v>1621</v>
      </c>
      <c r="D7" s="11">
        <f>IF(OR(C5="",C5=0),"",C7/C5)</f>
        <v/>
      </c>
      <c r="E7" s="15" t="inlineStr">
        <is>
          <t>公开接口汇总</t>
        </is>
      </c>
    </row>
    <row r="8">
      <c r="A8" s="5" t="inlineStr">
        <is>
          <t>关注</t>
        </is>
      </c>
      <c r="B8" s="5" t="inlineStr">
        <is>
          <t>涨粉</t>
        </is>
      </c>
      <c r="C8" s="7" t="n"/>
      <c r="D8" s="8" t="inlineStr">
        <is>
          <t>待补涨粉</t>
        </is>
      </c>
      <c r="E8" s="15" t="inlineStr">
        <is>
          <t>黄底待导出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</cols>
  <sheetData>
    <row r="1">
      <c r="A1" s="1" t="inlineStr">
        <is>
          <t>本周看板 · 样本稿</t>
        </is>
      </c>
    </row>
    <row r="3">
      <c r="A3" s="12" t="inlineStr">
        <is>
          <t>KPI</t>
        </is>
      </c>
    </row>
    <row r="4">
      <c r="A4" s="2" t="inlineStr">
        <is>
          <t>播放</t>
        </is>
      </c>
      <c r="B4" s="16" t="n">
        <v>3375</v>
      </c>
    </row>
    <row r="5">
      <c r="A5" s="2" t="inlineStr">
        <is>
          <t>点赞</t>
        </is>
      </c>
      <c r="B5" s="16" t="n">
        <v>1358</v>
      </c>
    </row>
    <row r="6">
      <c r="A6" s="2" t="inlineStr">
        <is>
          <t>点赞率</t>
        </is>
      </c>
      <c r="B6" s="17" t="n">
        <v>0.4023703703703704</v>
      </c>
    </row>
    <row r="7">
      <c r="A7" s="2" t="inlineStr">
        <is>
          <t>互动率</t>
        </is>
      </c>
      <c r="B7" s="17" t="n">
        <v>0.4802962962962963</v>
      </c>
    </row>
    <row r="9">
      <c r="A9" s="12" t="inlineStr">
        <is>
          <t>互动构成</t>
        </is>
      </c>
    </row>
    <row r="10">
      <c r="A10" s="12" t="inlineStr">
        <is>
          <t>类型</t>
        </is>
      </c>
      <c r="B10" s="12" t="inlineStr">
        <is>
          <t>数量</t>
        </is>
      </c>
    </row>
    <row r="11">
      <c r="A11" s="18" t="inlineStr">
        <is>
          <t>点赞</t>
        </is>
      </c>
      <c r="B11" s="18" t="n">
        <v>1358</v>
      </c>
    </row>
    <row r="12">
      <c r="A12" s="18" t="inlineStr">
        <is>
          <t>收藏</t>
        </is>
      </c>
      <c r="B12" s="18" t="n">
        <v>182</v>
      </c>
    </row>
    <row r="13">
      <c r="A13" s="18" t="inlineStr">
        <is>
          <t>评论</t>
        </is>
      </c>
      <c r="B13" s="18" t="n">
        <v>26</v>
      </c>
    </row>
    <row r="14">
      <c r="A14" s="18" t="inlineStr">
        <is>
          <t>投币</t>
        </is>
      </c>
      <c r="B14" s="18" t="n">
        <v>22</v>
      </c>
    </row>
    <row r="15">
      <c r="A15" s="18" t="inlineStr">
        <is>
          <t>弹幕</t>
        </is>
      </c>
      <c r="B15" s="18" t="n">
        <v>18</v>
      </c>
    </row>
    <row r="16">
      <c r="A16" s="18" t="inlineStr">
        <is>
          <t>分享</t>
        </is>
      </c>
      <c r="B16" s="18" t="n">
        <v>15</v>
      </c>
    </row>
    <row r="18">
      <c r="A18" s="12" t="inlineStr">
        <is>
          <t>下周行动</t>
        </is>
      </c>
    </row>
    <row r="19">
      <c r="A19" t="inlineStr">
        <is>
          <t>1. 片尾增加关注/投币口播与字幕 CTA</t>
        </is>
      </c>
    </row>
    <row r="20">
      <c r="A20" t="inlineStr">
        <is>
          <t>2. 标题/封面 A/B：强化「无剧透 + 情绪钩子」</t>
        </is>
      </c>
    </row>
    <row r="21">
      <c r="A21" t="inlineStr">
        <is>
          <t>3. 接入创作中心完播曲线，定位流失段落</t>
        </is>
      </c>
    </row>
    <row r="23">
      <c r="A23" s="12" t="inlineStr">
        <is>
          <t>Power BI 建议页</t>
        </is>
      </c>
    </row>
    <row r="24">
      <c r="A24" t="inlineStr">
        <is>
          <t>页1 总览 KPI｜页2 单稿互动构成｜页3 题材矩阵（见 powerbi_model.md）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2026-07-22T05:50:14Z</dcterms:created>
  <dcterms:modified xmlns:dcterms="http://purl.org/dc/terms/" xmlns:xsi="http://www.w3.org/2001/XMLSchema-instance" xsi:type="dcterms:W3CDTF">2026-07-22T05:50:14Z</dcterms:modified>
</cp:coreProperties>
</file>